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ratortarolo/Documents/Didattica/2025-2026_PhD_FromDatatoModels/From-Data-to-Models/Day3/"/>
    </mc:Choice>
  </mc:AlternateContent>
  <xr:revisionPtr revIDLastSave="0" documentId="8_{88A8E8DD-C194-DF4C-8AC3-D41D160CD73A}" xr6:coauthVersionLast="47" xr6:coauthVersionMax="47" xr10:uidLastSave="{00000000-0000-0000-0000-000000000000}"/>
  <bookViews>
    <workbookView xWindow="9380" yWindow="1100" windowWidth="27240" windowHeight="16060" activeTab="2" xr2:uid="{9DD5C123-5A0D-BD41-A9E1-0497CBDEA970}"/>
  </bookViews>
  <sheets>
    <sheet name="NCmNCn" sheetId="1" r:id="rId1"/>
    <sheet name="PPFIA1" sheetId="2" r:id="rId2"/>
    <sheet name="MAPKA and MAPKB" sheetId="3" r:id="rId3"/>
  </sheets>
  <externalReferences>
    <externalReference r:id="rId4"/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3" l="1"/>
</calcChain>
</file>

<file path=xl/sharedStrings.xml><?xml version="1.0" encoding="utf-8"?>
<sst xmlns="http://schemas.openxmlformats.org/spreadsheetml/2006/main" count="39" uniqueCount="23">
  <si>
    <t>Mean of three experiments: IF of NC in the cell</t>
  </si>
  <si>
    <t>Nucleus</t>
  </si>
  <si>
    <t>siCTL</t>
  </si>
  <si>
    <t>siPPFIA1</t>
  </si>
  <si>
    <t>Cytoplams</t>
  </si>
  <si>
    <t>Mean</t>
  </si>
  <si>
    <t>SD</t>
  </si>
  <si>
    <t xml:space="preserve">iBAQ for NC from MS experiment: </t>
  </si>
  <si>
    <t>Mean of 3 experiments: WB of total PPFIA1 in the cell</t>
  </si>
  <si>
    <t>siCTL day1 24h</t>
  </si>
  <si>
    <t>siPPFIA1 day1 24h</t>
  </si>
  <si>
    <t>siPPFIA1 day2 24h</t>
  </si>
  <si>
    <t xml:space="preserve">iBAQ for total PPFIA1 from MS experiment: </t>
  </si>
  <si>
    <t>PPFIA1</t>
  </si>
  <si>
    <t>Mean of 3 experiments: IF of PPFIA1 in nucleus/cytoplasm</t>
  </si>
  <si>
    <t>% nucleus</t>
  </si>
  <si>
    <t>% adhesion sites</t>
  </si>
  <si>
    <t>Mean of 3 experiments: RT-PCR of MAPKA</t>
  </si>
  <si>
    <t>Mean of 3 experiments: RT-PCR of MAPKB</t>
  </si>
  <si>
    <t>TESTT</t>
  </si>
  <si>
    <t>*</t>
  </si>
  <si>
    <t>***</t>
  </si>
  <si>
    <t xml:space="preserve">iBAQ for MAPKA from MS experiment: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</si>
</sst>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Helvetica Neue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textRotation="90"/>
    </xf>
    <xf numFmtId="2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Alignment="1">
      <alignment vertical="top" wrapText="1"/>
    </xf>
    <xf numFmtId="9" fontId="0" fillId="0" borderId="0" xfId="0" applyNumberFormat="1"/>
    <xf numFmtId="10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textRotation="90"/>
    </xf>
    <xf numFmtId="0" fontId="5" fillId="0" borderId="0" xfId="0" applyFont="1"/>
    <xf numFmtId="2" fontId="3" fillId="0" borderId="0" xfId="0" applyNumberFormat="1" applyFont="1"/>
    <xf numFmtId="0" fontId="6" fillId="0" borderId="0" xfId="0" applyFont="1"/>
    <xf numFmtId="0" fontId="3" fillId="0" borderId="0" xfId="0" applyFont="1" applyBorder="1"/>
    <xf numFmtId="0" fontId="0" fillId="0" borderId="0" xfId="0" applyBorder="1"/>
    <xf numFmtId="0" fontId="3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([2]PtdIns4P!$Z$16,[2]PtdIns4P!$AA$16)</c:f>
                <c:numCache>
                  <c:formatCode>General</c:formatCode>
                  <c:ptCount val="2"/>
                  <c:pt idx="0">
                    <c:v>1.614457579422991</c:v>
                  </c:pt>
                  <c:pt idx="1">
                    <c:v>1.0996839598968944</c:v>
                  </c:pt>
                </c:numCache>
              </c:numRef>
            </c:plus>
            <c:minus>
              <c:numRef>
                <c:f>([2]PtdIns4P!$Z$16,[2]PtdIns4P!$AA$16)</c:f>
                <c:numCache>
                  <c:formatCode>General</c:formatCode>
                  <c:ptCount val="2"/>
                  <c:pt idx="0">
                    <c:v>1.614457579422991</c:v>
                  </c:pt>
                  <c:pt idx="1">
                    <c:v>1.0996839598968944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[1]ATACmATACn!$AB$14:$AC$14</c:f>
              <c:strCache>
                <c:ptCount val="2"/>
                <c:pt idx="0">
                  <c:v>siCTL</c:v>
                </c:pt>
                <c:pt idx="1">
                  <c:v>siPPFIA1</c:v>
                </c:pt>
              </c:strCache>
            </c:strRef>
          </c:cat>
          <c:val>
            <c:numRef>
              <c:f>[1]ATACmATACn!$AB$15:$AC$15</c:f>
              <c:numCache>
                <c:formatCode>General</c:formatCode>
                <c:ptCount val="2"/>
                <c:pt idx="0">
                  <c:v>77.191571949427015</c:v>
                </c:pt>
                <c:pt idx="1">
                  <c:v>82.40564790834992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8-7F41-AD08-0F360EF33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772447"/>
        <c:axId val="372772031"/>
      </c:barChart>
      <c:catAx>
        <c:axId val="372772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72031"/>
        <c:crosses val="autoZero"/>
        <c:auto val="1"/>
        <c:lblAlgn val="ctr"/>
        <c:lblOffset val="100"/>
        <c:noMultiLvlLbl val="0"/>
      </c:catAx>
      <c:valAx>
        <c:axId val="3727720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72447"/>
        <c:crossesAt val="1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([2]PtdIns4P!$Z$16,[2]PtdIns4P!$AA$16)</c:f>
                <c:numCache>
                  <c:formatCode>General</c:formatCode>
                  <c:ptCount val="2"/>
                  <c:pt idx="0">
                    <c:v>1.614457579422991</c:v>
                  </c:pt>
                  <c:pt idx="1">
                    <c:v>1.0996839598968944</c:v>
                  </c:pt>
                </c:numCache>
              </c:numRef>
            </c:plus>
            <c:minus>
              <c:numRef>
                <c:f>([2]PtdIns4P!$Z$16,[2]PtdIns4P!$AA$16)</c:f>
                <c:numCache>
                  <c:formatCode>General</c:formatCode>
                  <c:ptCount val="2"/>
                  <c:pt idx="0">
                    <c:v>1.614457579422991</c:v>
                  </c:pt>
                  <c:pt idx="1">
                    <c:v>1.0996839598968944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[1]ATACmATACn!$AJ$14:$AK$14</c:f>
              <c:strCache>
                <c:ptCount val="2"/>
                <c:pt idx="0">
                  <c:v>siCTL</c:v>
                </c:pt>
                <c:pt idx="1">
                  <c:v>siPPFIA1</c:v>
                </c:pt>
              </c:strCache>
            </c:strRef>
          </c:cat>
          <c:val>
            <c:numRef>
              <c:f>[1]ATACmATACn!$AJ$15:$AK$15</c:f>
              <c:numCache>
                <c:formatCode>General</c:formatCode>
                <c:ptCount val="2"/>
                <c:pt idx="0">
                  <c:v>22.808428050572974</c:v>
                </c:pt>
                <c:pt idx="1">
                  <c:v>17.594352091650084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0-3A45-823B-5628878B2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772447"/>
        <c:axId val="372772031"/>
      </c:barChart>
      <c:catAx>
        <c:axId val="372772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72031"/>
        <c:crosses val="autoZero"/>
        <c:auto val="1"/>
        <c:lblAlgn val="ctr"/>
        <c:lblOffset val="100"/>
        <c:noMultiLvlLbl val="0"/>
      </c:catAx>
      <c:valAx>
        <c:axId val="3727720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72447"/>
        <c:crossesAt val="1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203200</xdr:colOff>
      <xdr:row>2</xdr:row>
      <xdr:rowOff>0</xdr:rowOff>
    </xdr:from>
    <xdr:to>
      <xdr:col>8</xdr:col>
      <xdr:colOff>675640</xdr:colOff>
      <xdr:row>11</xdr:row>
      <xdr:rowOff>189230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753B009-1409-C842-9AA5-105184BD8E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393700</xdr:colOff>
      <xdr:row>3</xdr:row>
      <xdr:rowOff>50800</xdr:rowOff>
    </xdr:from>
    <xdr:to>
      <xdr:col>8</xdr:col>
      <xdr:colOff>12700</xdr:colOff>
      <xdr:row>3</xdr:row>
      <xdr:rowOff>60960</xdr:rowOff>
    </xdr:to>
    <xdr:cxnSp macro="">
      <xdr:nvCxnSpPr>
        <xdr:cNvPr id="3" name="Connettore diritto 3">
          <a:extLst>
            <a:ext uri="{FF2B5EF4-FFF2-40B4-BE49-F238E27FC236}">
              <a16:creationId xmlns:a16="http://schemas.microsoft.com/office/drawing/2014/main" id="{2EC5F4F5-5252-0A4C-9A3F-E807C31D5880}"/>
            </a:ext>
          </a:extLst>
        </xdr:cNvPr>
        <xdr:cNvCxnSpPr/>
      </xdr:nvCxnSpPr>
      <xdr:spPr>
        <a:xfrm flipV="1">
          <a:off x="5346700" y="660400"/>
          <a:ext cx="1270000" cy="10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10160</xdr:colOff>
      <xdr:row>2</xdr:row>
      <xdr:rowOff>76200</xdr:rowOff>
    </xdr:from>
    <xdr:ext cx="395493" cy="264560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7BC8CFA6-7F59-5D40-8EDB-4DAC8D51A264}"/>
            </a:ext>
          </a:extLst>
        </xdr:cNvPr>
        <xdr:cNvSpPr txBox="1"/>
      </xdr:nvSpPr>
      <xdr:spPr>
        <a:xfrm>
          <a:off x="5788660" y="482600"/>
          <a:ext cx="3954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***</a:t>
          </a:r>
        </a:p>
      </xdr:txBody>
    </xdr:sp>
    <xdr:clientData/>
  </xdr:oneCellAnchor>
  <xdr:twoCellAnchor>
    <xdr:from>
      <xdr:col>13</xdr:col>
      <xdr:colOff>241300</xdr:colOff>
      <xdr:row>1</xdr:row>
      <xdr:rowOff>38100</xdr:rowOff>
    </xdr:from>
    <xdr:to>
      <xdr:col>16</xdr:col>
      <xdr:colOff>713740</xdr:colOff>
      <xdr:row>11</xdr:row>
      <xdr:rowOff>24130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D13E3950-32E3-0E48-B894-896BB439D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431800</xdr:colOff>
      <xdr:row>2</xdr:row>
      <xdr:rowOff>127000</xdr:rowOff>
    </xdr:from>
    <xdr:to>
      <xdr:col>16</xdr:col>
      <xdr:colOff>50800</xdr:colOff>
      <xdr:row>2</xdr:row>
      <xdr:rowOff>137160</xdr:rowOff>
    </xdr:to>
    <xdr:cxnSp macro="">
      <xdr:nvCxnSpPr>
        <xdr:cNvPr id="6" name="Connettore diritto 3">
          <a:extLst>
            <a:ext uri="{FF2B5EF4-FFF2-40B4-BE49-F238E27FC236}">
              <a16:creationId xmlns:a16="http://schemas.microsoft.com/office/drawing/2014/main" id="{919552C4-2FB5-F04E-BD00-0E1CD7B98163}"/>
            </a:ext>
          </a:extLst>
        </xdr:cNvPr>
        <xdr:cNvCxnSpPr/>
      </xdr:nvCxnSpPr>
      <xdr:spPr>
        <a:xfrm flipV="1">
          <a:off x="11988800" y="533400"/>
          <a:ext cx="1270000" cy="10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48260</xdr:colOff>
      <xdr:row>1</xdr:row>
      <xdr:rowOff>152400</xdr:rowOff>
    </xdr:from>
    <xdr:ext cx="395493" cy="264560"/>
    <xdr:sp macro="" textlink="">
      <xdr:nvSpPr>
        <xdr:cNvPr id="7" name="CasellaDiTesto 6">
          <a:extLst>
            <a:ext uri="{FF2B5EF4-FFF2-40B4-BE49-F238E27FC236}">
              <a16:creationId xmlns:a16="http://schemas.microsoft.com/office/drawing/2014/main" id="{100FC4E9-4FE0-284E-92A2-CBDC488466DB}"/>
            </a:ext>
          </a:extLst>
        </xdr:cNvPr>
        <xdr:cNvSpPr txBox="1"/>
      </xdr:nvSpPr>
      <xdr:spPr>
        <a:xfrm>
          <a:off x="12430760" y="355600"/>
          <a:ext cx="3954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***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Extreme%20SSD/Dottorato/Progetti/Modello/PetriNet/Dati/Data_2020-2021/20211013/20211013_InserimentoDat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Extreme%20SSD/Dottorato/Progetti/Modello/PetriNet/Dati/Data_2020-2021/20210609_Prova_Inserime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ga5Itgb1Fn1M"/>
      <sheetName val="Itga5Itgb1Fn1Rab21C"/>
      <sheetName val="Itga5Itgb1Fn1nMa"/>
      <sheetName val="Itga5Itgb1Fn1nMb"/>
      <sheetName val="Itga5Itgb1FnC"/>
      <sheetName val="PtdIns4P"/>
      <sheetName val="Pi4kbX"/>
      <sheetName val="Sacm1lX"/>
      <sheetName val="Prkd1x e Prkd1X"/>
      <sheetName val="Mapk13acH3K14ac"/>
      <sheetName val="Ppfia1Ptprf"/>
      <sheetName val="ATACmATACn"/>
      <sheetName val="Elenco"/>
    </sheetNames>
    <sheetDataSet>
      <sheetData sheetId="0"/>
      <sheetData sheetId="1"/>
      <sheetData sheetId="2"/>
      <sheetData sheetId="3">
        <row r="9">
          <cell r="T9" t="str">
            <v>siCTL</v>
          </cell>
        </row>
      </sheetData>
      <sheetData sheetId="4"/>
      <sheetData sheetId="5"/>
      <sheetData sheetId="6">
        <row r="14">
          <cell r="AA14" t="str">
            <v>siCTL</v>
          </cell>
        </row>
      </sheetData>
      <sheetData sheetId="7"/>
      <sheetData sheetId="8"/>
      <sheetData sheetId="9"/>
      <sheetData sheetId="10"/>
      <sheetData sheetId="11">
        <row r="14">
          <cell r="AB14" t="str">
            <v>siCTL</v>
          </cell>
          <cell r="AC14" t="str">
            <v>siPPFIA1</v>
          </cell>
          <cell r="AJ14" t="str">
            <v>siCTL</v>
          </cell>
          <cell r="AK14" t="str">
            <v>siPPFIA1</v>
          </cell>
        </row>
        <row r="15">
          <cell r="AB15">
            <v>77.191571949427015</v>
          </cell>
          <cell r="AC15">
            <v>82.40564790834992</v>
          </cell>
          <cell r="AJ15">
            <v>22.808428050572974</v>
          </cell>
          <cell r="AK15">
            <v>17.594352091650084</v>
          </cell>
        </row>
      </sheetData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dIns4P"/>
      <sheetName val="Pi4kbX"/>
      <sheetName val="Sacm1lX"/>
      <sheetName val="Prkd1x e Prkd1X"/>
      <sheetName val="Mapk13acH3K14ac"/>
      <sheetName val="Ppfia1Ptprf"/>
      <sheetName val="Itga5Itgb1FnC"/>
      <sheetName val="Itga5Itgb1Fn1nMb"/>
      <sheetName val="Itga5Itgb1Fn1nMa"/>
      <sheetName val="Elenco"/>
    </sheetNames>
    <sheetDataSet>
      <sheetData sheetId="0">
        <row r="11">
          <cell r="P11">
            <v>2.0488639389035934</v>
          </cell>
        </row>
        <row r="16">
          <cell r="Z16">
            <v>1.614457579422991</v>
          </cell>
          <cell r="AA16">
            <v>1.0996839598968944</v>
          </cell>
        </row>
      </sheetData>
      <sheetData sheetId="1">
        <row r="8">
          <cell r="P8" t="str">
            <v>siCTL</v>
          </cell>
        </row>
      </sheetData>
      <sheetData sheetId="2">
        <row r="9">
          <cell r="H9" t="str">
            <v>siCTL 1gg 24h</v>
          </cell>
        </row>
      </sheetData>
      <sheetData sheetId="3">
        <row r="7">
          <cell r="X7" t="str">
            <v>siCTL</v>
          </cell>
        </row>
      </sheetData>
      <sheetData sheetId="4">
        <row r="8">
          <cell r="B8" t="str">
            <v>siCTL</v>
          </cell>
        </row>
      </sheetData>
      <sheetData sheetId="5">
        <row r="9">
          <cell r="H9" t="str">
            <v>siCTL 1gg 24h</v>
          </cell>
        </row>
      </sheetData>
      <sheetData sheetId="6">
        <row r="11">
          <cell r="R11" t="str">
            <v>0'</v>
          </cell>
        </row>
      </sheetData>
      <sheetData sheetId="7" refreshError="1"/>
      <sheetData sheetId="8">
        <row r="9">
          <cell r="T9" t="str">
            <v>siCTL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CECD4-E41C-3145-9635-FF6C35217797}">
  <dimension ref="B1:O21"/>
  <sheetViews>
    <sheetView workbookViewId="0">
      <selection activeCell="I24" sqref="I24"/>
    </sheetView>
  </sheetViews>
  <sheetFormatPr baseColWidth="10" defaultRowHeight="16" x14ac:dyDescent="0.2"/>
  <sheetData>
    <row r="1" spans="2:15" x14ac:dyDescent="0.2">
      <c r="B1" s="1"/>
      <c r="C1" s="2"/>
      <c r="E1" s="3"/>
      <c r="F1" s="2"/>
      <c r="G1" s="2"/>
      <c r="J1" s="1"/>
      <c r="K1" s="2"/>
      <c r="M1" s="3"/>
      <c r="N1" s="2"/>
      <c r="O1" s="2"/>
    </row>
    <row r="2" spans="2:15" x14ac:dyDescent="0.2">
      <c r="B2" s="4" t="s">
        <v>0</v>
      </c>
      <c r="E2" s="3"/>
    </row>
    <row r="5" spans="2:15" x14ac:dyDescent="0.2">
      <c r="C5" t="s">
        <v>1</v>
      </c>
      <c r="D5" s="2" t="s">
        <v>2</v>
      </c>
      <c r="E5" s="2" t="s">
        <v>3</v>
      </c>
      <c r="K5" t="s">
        <v>4</v>
      </c>
      <c r="L5" s="2" t="s">
        <v>2</v>
      </c>
      <c r="M5" s="2" t="s">
        <v>3</v>
      </c>
    </row>
    <row r="6" spans="2:15" x14ac:dyDescent="0.2">
      <c r="C6" t="s">
        <v>5</v>
      </c>
      <c r="D6">
        <v>77.191571949427015</v>
      </c>
      <c r="E6">
        <v>82.40564790834992</v>
      </c>
      <c r="K6" t="s">
        <v>5</v>
      </c>
      <c r="L6">
        <v>22.808428050572974</v>
      </c>
      <c r="M6">
        <v>17.594352091650084</v>
      </c>
    </row>
    <row r="7" spans="2:15" x14ac:dyDescent="0.2">
      <c r="C7" t="s">
        <v>6</v>
      </c>
      <c r="D7">
        <v>3.1741258339497014</v>
      </c>
      <c r="E7">
        <v>3.4402148075935872</v>
      </c>
      <c r="K7" t="s">
        <v>6</v>
      </c>
      <c r="L7">
        <v>3.1741258339496965</v>
      </c>
      <c r="M7">
        <v>3.4402148075935863</v>
      </c>
    </row>
    <row r="10" spans="2:15" x14ac:dyDescent="0.2">
      <c r="D10" s="2"/>
      <c r="E10" s="2"/>
    </row>
    <row r="11" spans="2:15" x14ac:dyDescent="0.2">
      <c r="C11" s="2"/>
      <c r="D11" s="2"/>
      <c r="E11" s="2"/>
    </row>
    <row r="12" spans="2:15" x14ac:dyDescent="0.2">
      <c r="C12" s="2"/>
      <c r="D12" s="2"/>
      <c r="E12" s="2"/>
    </row>
    <row r="13" spans="2:15" x14ac:dyDescent="0.2">
      <c r="C13" s="2"/>
      <c r="D13" s="2"/>
      <c r="E13" s="2"/>
      <c r="L13" s="2"/>
    </row>
    <row r="14" spans="2:15" x14ac:dyDescent="0.2">
      <c r="C14" t="s">
        <v>7</v>
      </c>
      <c r="F14">
        <v>4.4459999999999997</v>
      </c>
    </row>
    <row r="15" spans="2:15" x14ac:dyDescent="0.2">
      <c r="C15" s="5"/>
      <c r="D15" s="5"/>
      <c r="E15" s="5"/>
      <c r="F15" s="5"/>
      <c r="G15" s="5"/>
      <c r="H15" s="5"/>
    </row>
    <row r="16" spans="2:15" x14ac:dyDescent="0.2">
      <c r="C16" s="5"/>
      <c r="D16" s="5"/>
      <c r="E16" s="5"/>
      <c r="F16" s="5"/>
      <c r="G16" s="5"/>
      <c r="H16" s="5"/>
    </row>
    <row r="20" spans="4:5" x14ac:dyDescent="0.2">
      <c r="D20" s="6"/>
      <c r="E20" s="6"/>
    </row>
    <row r="21" spans="4:5" x14ac:dyDescent="0.2">
      <c r="D21" s="7"/>
      <c r="E21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292A-0AE2-854A-83B3-7DACFD0EE8E6}">
  <dimension ref="B3:I15"/>
  <sheetViews>
    <sheetView workbookViewId="0">
      <selection activeCell="A18" sqref="A18:XFD22"/>
    </sheetView>
  </sheetViews>
  <sheetFormatPr baseColWidth="10" defaultRowHeight="16" x14ac:dyDescent="0.2"/>
  <cols>
    <col min="2" max="2" width="12.83203125" customWidth="1"/>
    <col min="7" max="7" width="13.6640625" customWidth="1"/>
  </cols>
  <sheetData>
    <row r="3" spans="2:9" x14ac:dyDescent="0.2">
      <c r="B3" s="8" t="s">
        <v>8</v>
      </c>
    </row>
    <row r="4" spans="2:9" x14ac:dyDescent="0.2">
      <c r="E4" s="2"/>
    </row>
    <row r="5" spans="2:9" x14ac:dyDescent="0.2">
      <c r="C5" s="2" t="s">
        <v>9</v>
      </c>
      <c r="D5" t="s">
        <v>10</v>
      </c>
      <c r="E5" t="s">
        <v>11</v>
      </c>
      <c r="F5" s="2"/>
      <c r="I5" s="2"/>
    </row>
    <row r="6" spans="2:9" x14ac:dyDescent="0.2">
      <c r="B6" t="s">
        <v>5</v>
      </c>
      <c r="C6" s="2">
        <v>1</v>
      </c>
      <c r="D6" s="2">
        <v>0.13860548066077108</v>
      </c>
      <c r="E6" s="2">
        <v>0</v>
      </c>
      <c r="F6" s="2"/>
      <c r="I6" s="2"/>
    </row>
    <row r="7" spans="2:9" x14ac:dyDescent="0.2">
      <c r="B7" t="s">
        <v>6</v>
      </c>
      <c r="C7" s="2">
        <v>0</v>
      </c>
      <c r="D7" s="2">
        <v>5.3030450188064494E-2</v>
      </c>
      <c r="E7" s="2">
        <v>0</v>
      </c>
      <c r="F7" s="2"/>
      <c r="I7" s="2"/>
    </row>
    <row r="8" spans="2:9" x14ac:dyDescent="0.2">
      <c r="F8" s="2"/>
      <c r="I8" s="2"/>
    </row>
    <row r="9" spans="2:9" x14ac:dyDescent="0.2">
      <c r="F9" s="2"/>
      <c r="I9" s="2"/>
    </row>
    <row r="10" spans="2:9" x14ac:dyDescent="0.2">
      <c r="B10" t="s">
        <v>12</v>
      </c>
      <c r="E10">
        <v>3.2163592255344997</v>
      </c>
      <c r="I10" s="2"/>
    </row>
    <row r="11" spans="2:9" x14ac:dyDescent="0.2">
      <c r="B11" s="5"/>
      <c r="C11" s="5"/>
      <c r="D11" s="5"/>
      <c r="E11" s="5"/>
      <c r="F11" s="2"/>
    </row>
    <row r="12" spans="2:9" x14ac:dyDescent="0.2">
      <c r="B12" s="4" t="s">
        <v>14</v>
      </c>
      <c r="F12" s="2"/>
    </row>
    <row r="13" spans="2:9" x14ac:dyDescent="0.2">
      <c r="F13" s="2"/>
      <c r="G13" s="2"/>
      <c r="I13" s="2"/>
    </row>
    <row r="14" spans="2:9" x14ac:dyDescent="0.2">
      <c r="C14" t="s">
        <v>15</v>
      </c>
      <c r="D14" t="s">
        <v>16</v>
      </c>
      <c r="F14" s="5"/>
      <c r="G14" s="5"/>
      <c r="I14" s="2"/>
    </row>
    <row r="15" spans="2:9" x14ac:dyDescent="0.2">
      <c r="B15" t="s">
        <v>13</v>
      </c>
      <c r="C15">
        <v>83</v>
      </c>
      <c r="D15">
        <v>17</v>
      </c>
      <c r="F15" s="5"/>
      <c r="G1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8CA8-A7D7-6A40-A314-7F5F7D0DBEF5}">
  <dimension ref="B2:T31"/>
  <sheetViews>
    <sheetView tabSelected="1" workbookViewId="0">
      <selection activeCell="H25" sqref="H25"/>
    </sheetView>
  </sheetViews>
  <sheetFormatPr baseColWidth="10" defaultRowHeight="16" x14ac:dyDescent="0.2"/>
  <sheetData>
    <row r="2" spans="2:20" x14ac:dyDescent="0.2">
      <c r="B2" s="8" t="s">
        <v>17</v>
      </c>
      <c r="H2" s="8" t="s">
        <v>18</v>
      </c>
    </row>
    <row r="3" spans="2:20" x14ac:dyDescent="0.2">
      <c r="B3" s="9"/>
      <c r="C3" s="9"/>
      <c r="D3" s="9"/>
      <c r="E3" s="9"/>
      <c r="F3" s="9"/>
      <c r="G3" s="9"/>
      <c r="H3" s="9"/>
      <c r="I3" s="9"/>
      <c r="J3" s="9"/>
      <c r="K3" s="9"/>
      <c r="O3" s="8"/>
    </row>
    <row r="4" spans="2:20" x14ac:dyDescent="0.2">
      <c r="B4" s="9"/>
      <c r="C4" s="10"/>
      <c r="D4" s="10"/>
      <c r="E4" s="9"/>
      <c r="F4" s="9"/>
      <c r="G4" s="9"/>
      <c r="H4" s="9"/>
      <c r="I4" s="9"/>
      <c r="J4" s="9"/>
      <c r="K4" s="9"/>
      <c r="R4" s="3"/>
      <c r="S4" s="3"/>
    </row>
    <row r="5" spans="2:20" x14ac:dyDescent="0.2">
      <c r="B5" s="9"/>
      <c r="C5" s="9"/>
      <c r="D5" s="9"/>
      <c r="E5" s="9"/>
      <c r="F5" s="11"/>
      <c r="G5" s="11"/>
      <c r="H5" s="9"/>
      <c r="I5" s="9"/>
      <c r="J5" s="9"/>
      <c r="K5" s="9"/>
      <c r="O5" s="12"/>
      <c r="P5" s="2"/>
      <c r="R5" s="13"/>
      <c r="T5" s="2"/>
    </row>
    <row r="6" spans="2:20" x14ac:dyDescent="0.2">
      <c r="B6" s="9"/>
      <c r="C6" s="14" t="s">
        <v>2</v>
      </c>
      <c r="D6" s="14" t="s">
        <v>3</v>
      </c>
      <c r="E6" s="9"/>
      <c r="F6" s="15"/>
      <c r="G6" s="15"/>
      <c r="I6" s="2" t="s">
        <v>2</v>
      </c>
      <c r="J6" s="2" t="s">
        <v>3</v>
      </c>
      <c r="K6" s="9"/>
      <c r="O6" s="12"/>
      <c r="P6" s="2"/>
      <c r="R6" s="13"/>
      <c r="T6" s="2"/>
    </row>
    <row r="7" spans="2:20" x14ac:dyDescent="0.2">
      <c r="B7" s="9" t="s">
        <v>5</v>
      </c>
      <c r="C7" s="14">
        <v>1</v>
      </c>
      <c r="D7" s="14">
        <v>1.99</v>
      </c>
      <c r="E7" s="9"/>
      <c r="F7" s="15"/>
      <c r="G7" s="15"/>
      <c r="H7" t="s">
        <v>5</v>
      </c>
      <c r="I7" s="2">
        <v>1</v>
      </c>
      <c r="J7" s="2">
        <v>0.56627308703333334</v>
      </c>
      <c r="K7" s="9"/>
      <c r="R7" s="3"/>
    </row>
    <row r="8" spans="2:20" x14ac:dyDescent="0.2">
      <c r="B8" s="9" t="s">
        <v>6</v>
      </c>
      <c r="C8" s="9">
        <v>0</v>
      </c>
      <c r="D8" s="11">
        <v>0.34011622000000002</v>
      </c>
      <c r="E8" s="9"/>
      <c r="F8" s="11"/>
      <c r="G8" s="9"/>
      <c r="H8" t="s">
        <v>6</v>
      </c>
      <c r="I8">
        <v>0</v>
      </c>
      <c r="J8" s="3">
        <v>2.2540459855936317E-2</v>
      </c>
      <c r="K8" s="9"/>
    </row>
    <row r="9" spans="2:20" x14ac:dyDescent="0.2">
      <c r="B9" s="9"/>
      <c r="C9" s="9"/>
      <c r="D9" s="9"/>
      <c r="E9" s="9"/>
      <c r="F9" s="9"/>
      <c r="G9" s="9"/>
      <c r="K9" s="9"/>
    </row>
    <row r="10" spans="2:20" x14ac:dyDescent="0.2">
      <c r="B10" s="9" t="s">
        <v>19</v>
      </c>
      <c r="C10" s="9">
        <v>3.6015299999999999E-3</v>
      </c>
      <c r="D10" s="9" t="s">
        <v>20</v>
      </c>
      <c r="G10" s="9"/>
      <c r="H10" t="s">
        <v>19</v>
      </c>
      <c r="I10" t="e">
        <f>TTEST(Q5:S5,Q6:S6,1,2)</f>
        <v>#DIV/0!</v>
      </c>
      <c r="J10" t="s">
        <v>21</v>
      </c>
      <c r="K10" s="9"/>
    </row>
    <row r="11" spans="2:20" x14ac:dyDescent="0.2">
      <c r="B11" s="9"/>
      <c r="C11" s="14"/>
      <c r="D11" s="14"/>
      <c r="G11" s="9"/>
      <c r="H11" s="9"/>
      <c r="I11" s="9"/>
      <c r="J11" s="9"/>
      <c r="K11" s="9"/>
    </row>
    <row r="12" spans="2:20" x14ac:dyDescent="0.2">
      <c r="B12" s="14"/>
      <c r="C12" s="14"/>
      <c r="D12" s="14"/>
      <c r="G12" s="9"/>
      <c r="H12" s="9"/>
      <c r="I12" s="9"/>
      <c r="J12" s="9"/>
      <c r="K12" s="9"/>
    </row>
    <row r="13" spans="2:20" x14ac:dyDescent="0.2">
      <c r="B13" s="9"/>
      <c r="C13" s="9"/>
      <c r="G13" s="9"/>
      <c r="H13" s="9"/>
      <c r="I13" s="9"/>
      <c r="J13" s="9"/>
      <c r="K13" s="9"/>
    </row>
    <row r="14" spans="2:20" x14ac:dyDescent="0.2">
      <c r="B14" t="s">
        <v>22</v>
      </c>
      <c r="E14" s="9">
        <v>5.3842552599999998</v>
      </c>
      <c r="G14" s="9"/>
      <c r="H14" t="s">
        <v>22</v>
      </c>
      <c r="I14" s="9"/>
      <c r="J14" s="9"/>
      <c r="K14">
        <v>58.184275810665625</v>
      </c>
    </row>
    <row r="15" spans="2:20" x14ac:dyDescent="0.2">
      <c r="B15" s="9"/>
      <c r="C15" s="9"/>
      <c r="G15" s="9"/>
      <c r="H15" s="9"/>
      <c r="I15" s="9"/>
      <c r="J15" s="9"/>
      <c r="K15" s="9"/>
      <c r="Q15" s="2"/>
      <c r="R15" s="2"/>
    </row>
    <row r="16" spans="2:20" x14ac:dyDescent="0.2">
      <c r="B16" s="16"/>
      <c r="C16" s="16"/>
      <c r="D16" s="17"/>
      <c r="E16" s="17"/>
      <c r="F16" s="17"/>
      <c r="G16" s="16"/>
      <c r="H16" s="16"/>
      <c r="I16" s="16"/>
      <c r="J16" s="16"/>
      <c r="K16" s="16"/>
      <c r="L16" s="17"/>
      <c r="M16" s="17"/>
      <c r="P16" s="2"/>
      <c r="Q16" s="2"/>
      <c r="R16" s="2"/>
    </row>
    <row r="17" spans="2:20" x14ac:dyDescent="0.2">
      <c r="B17" s="16"/>
      <c r="C17" s="16"/>
      <c r="D17" s="16"/>
      <c r="E17" s="16"/>
      <c r="F17" s="17"/>
      <c r="G17" s="16"/>
      <c r="H17" s="16"/>
      <c r="I17" s="16"/>
      <c r="J17" s="16"/>
      <c r="K17" s="16"/>
      <c r="L17" s="17"/>
      <c r="M17" s="17"/>
      <c r="P17" s="2"/>
      <c r="Q17" s="2"/>
      <c r="R17" s="2"/>
    </row>
    <row r="18" spans="2:20" x14ac:dyDescent="0.2">
      <c r="B18" s="16"/>
      <c r="C18" s="16"/>
      <c r="D18" s="16"/>
      <c r="E18" s="16"/>
      <c r="F18" s="17"/>
      <c r="G18" s="16"/>
      <c r="H18" s="16"/>
      <c r="I18" s="16"/>
      <c r="J18" s="16"/>
      <c r="K18" s="16"/>
      <c r="L18" s="17"/>
      <c r="M18" s="17"/>
    </row>
    <row r="19" spans="2:20" x14ac:dyDescent="0.2">
      <c r="B19" s="16"/>
      <c r="C19" s="16"/>
      <c r="D19" s="16"/>
      <c r="E19" s="16"/>
      <c r="F19" s="18"/>
      <c r="G19" s="18"/>
      <c r="H19" s="18"/>
      <c r="I19" s="16"/>
      <c r="J19" s="16"/>
      <c r="K19" s="16"/>
      <c r="L19" s="17"/>
      <c r="M19" s="17"/>
    </row>
    <row r="20" spans="2:20" x14ac:dyDescent="0.2">
      <c r="B20" s="16"/>
      <c r="C20" s="16"/>
      <c r="D20" s="16"/>
      <c r="E20" s="16"/>
      <c r="F20" s="18"/>
      <c r="G20" s="18"/>
      <c r="H20" s="18"/>
      <c r="I20" s="16"/>
      <c r="J20" s="16"/>
      <c r="K20" s="16"/>
      <c r="L20" s="17"/>
      <c r="M20" s="17"/>
      <c r="O20" s="5"/>
      <c r="P20" s="5"/>
      <c r="Q20" s="5"/>
      <c r="R20" s="5"/>
      <c r="S20" s="5"/>
      <c r="T20" s="5"/>
    </row>
    <row r="21" spans="2:20" x14ac:dyDescent="0.2">
      <c r="B21" s="17"/>
      <c r="C21" s="17"/>
      <c r="D21" s="17"/>
      <c r="E21" s="17"/>
      <c r="F21" s="16"/>
      <c r="G21" s="16"/>
      <c r="H21" s="16"/>
      <c r="I21" s="16"/>
      <c r="J21" s="16"/>
      <c r="K21" s="16"/>
      <c r="L21" s="17"/>
      <c r="M21" s="17"/>
      <c r="O21" s="5"/>
      <c r="P21" s="5"/>
      <c r="Q21" s="5"/>
      <c r="R21" s="5"/>
      <c r="S21" s="5"/>
      <c r="T21" s="5"/>
    </row>
    <row r="22" spans="2:20" x14ac:dyDescent="0.2">
      <c r="B22" s="17"/>
      <c r="C22" s="17"/>
      <c r="D22" s="17"/>
      <c r="E22" s="17"/>
      <c r="F22" s="17"/>
      <c r="G22" s="16"/>
      <c r="H22" s="16"/>
      <c r="I22" s="16"/>
      <c r="J22" s="16"/>
      <c r="K22" s="16"/>
      <c r="L22" s="17"/>
      <c r="M22" s="17"/>
    </row>
    <row r="23" spans="2:20" x14ac:dyDescent="0.2">
      <c r="B23" s="9"/>
      <c r="G23" s="9"/>
      <c r="H23" s="9"/>
      <c r="I23" s="9"/>
      <c r="J23" s="9"/>
      <c r="K23" s="9"/>
    </row>
    <row r="24" spans="2:20" x14ac:dyDescent="0.2">
      <c r="B24" s="9"/>
      <c r="G24" s="9"/>
      <c r="H24" s="9"/>
      <c r="I24" s="9"/>
      <c r="J24" s="9"/>
      <c r="K24" s="9"/>
    </row>
    <row r="25" spans="2:20" x14ac:dyDescent="0.2">
      <c r="B25" s="9"/>
      <c r="G25" s="9"/>
      <c r="H25" s="9"/>
      <c r="I25" s="9"/>
      <c r="J25" s="9"/>
      <c r="K25" s="9"/>
    </row>
    <row r="26" spans="2:20" x14ac:dyDescent="0.2">
      <c r="B26" s="9"/>
      <c r="H26" s="9"/>
      <c r="I26" s="9"/>
      <c r="J26" s="9"/>
      <c r="K26" s="9"/>
    </row>
    <row r="27" spans="2:20" x14ac:dyDescent="0.2">
      <c r="B27" s="9"/>
      <c r="H27" s="9"/>
      <c r="I27" s="9"/>
      <c r="J27" s="9"/>
      <c r="K27" s="9"/>
    </row>
    <row r="28" spans="2:20" x14ac:dyDescent="0.2">
      <c r="B28" s="9"/>
      <c r="H28" s="9"/>
      <c r="I28" s="9"/>
      <c r="J28" s="9"/>
      <c r="K28" s="9"/>
    </row>
    <row r="29" spans="2:20" x14ac:dyDescent="0.2">
      <c r="B29" s="9"/>
      <c r="H29" s="9"/>
      <c r="I29" s="9"/>
      <c r="J29" s="9"/>
      <c r="K29" s="9"/>
    </row>
    <row r="30" spans="2:20" x14ac:dyDescent="0.2">
      <c r="B30" s="9"/>
      <c r="H30" s="9"/>
      <c r="I30" s="9"/>
      <c r="J30" s="9"/>
      <c r="K30" s="9"/>
    </row>
    <row r="31" spans="2:20" x14ac:dyDescent="0.2">
      <c r="B31" s="9"/>
      <c r="C31" s="9"/>
      <c r="D31" s="14"/>
      <c r="E31" s="9"/>
      <c r="F31" s="9"/>
      <c r="G31" s="9"/>
      <c r="H31" s="9"/>
      <c r="I31" s="9"/>
      <c r="J31" s="9"/>
      <c r="K31" s="9"/>
    </row>
  </sheetData>
  <mergeCells count="1">
    <mergeCell ref="O5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NCmNCn</vt:lpstr>
      <vt:lpstr>PPFIA1</vt:lpstr>
      <vt:lpstr>MAPKA and MAPKB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Tortarolo</dc:creator>
  <cp:lastModifiedBy>Dora Tortarolo</cp:lastModifiedBy>
  <dcterms:created xsi:type="dcterms:W3CDTF">2026-06-25T19:06:11Z</dcterms:created>
  <dcterms:modified xsi:type="dcterms:W3CDTF">2026-06-25T19:07:58Z</dcterms:modified>
</cp:coreProperties>
</file>